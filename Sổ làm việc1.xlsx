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eThong_Web_Logs\SESSION 12\EX06\"/>
    </mc:Choice>
  </mc:AlternateContent>
  <xr:revisionPtr revIDLastSave="0" documentId="8_{937ED39A-7B3B-42B6-9D2D-3B78757D6FEF}" xr6:coauthVersionLast="47" xr6:coauthVersionMax="47" xr10:uidLastSave="{00000000-0000-0000-0000-000000000000}"/>
  <bookViews>
    <workbookView xWindow="-108" yWindow="-108" windowWidth="23256" windowHeight="13896" xr2:uid="{0AFBE1B5-F324-4677-BCA6-7636D7C98DE6}"/>
  </bookViews>
  <sheets>
    <sheet name="DanhSachNhaDat" sheetId="1" r:id="rId1"/>
    <sheet name="BangHoaHo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4" i="1"/>
  <c r="I5" i="1"/>
  <c r="I2" i="1"/>
  <c r="H3" i="1"/>
  <c r="H4" i="1"/>
  <c r="H5" i="1"/>
  <c r="H2" i="1"/>
  <c r="G3" i="1"/>
  <c r="G4" i="1"/>
  <c r="G5" i="1"/>
  <c r="G2" i="1"/>
  <c r="F3" i="1"/>
  <c r="F4" i="1"/>
  <c r="F5" i="1"/>
  <c r="F2" i="1"/>
</calcChain>
</file>

<file path=xl/sharedStrings.xml><?xml version="1.0" encoding="utf-8"?>
<sst xmlns="http://schemas.openxmlformats.org/spreadsheetml/2006/main" count="25" uniqueCount="19">
  <si>
    <t>Mã BĐS</t>
  </si>
  <si>
    <t>Loại BĐS</t>
  </si>
  <si>
    <t>Giao dịch</t>
  </si>
  <si>
    <t>Giá niêm yết (VND)</t>
  </si>
  <si>
    <t>CK (%)</t>
  </si>
  <si>
    <t>SH001</t>
  </si>
  <si>
    <t>SH002</t>
  </si>
  <si>
    <t>SH003</t>
  </si>
  <si>
    <t>SH004</t>
  </si>
  <si>
    <t>Tiền CK (VND)</t>
  </si>
  <si>
    <t>Giá sau CK (VND)</t>
  </si>
  <si>
    <t>Tỷ lệ HH</t>
  </si>
  <si>
    <t>Hoa hồng (VND)</t>
  </si>
  <si>
    <t>Loại giao dịch</t>
  </si>
  <si>
    <t>Tỷ lệ hoa hồng</t>
  </si>
  <si>
    <t>Bán</t>
  </si>
  <si>
    <t>Thuê</t>
  </si>
  <si>
    <t>Nhà phố</t>
  </si>
  <si>
    <t>Căn hộ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</si>
</sst>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9" fontId="0" fillId="0" borderId="0" xfId="0" applyNumberFormat="1"/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9" fontId="0" fillId="0" borderId="0" xfId="1" applyFont="1" applyAlignment="1">
      <alignment vertical="center" wrapText="1"/>
    </xf>
  </cellXfs>
  <cellStyles count="2">
    <cellStyle name="Bình thường" xfId="0" builtinId="0"/>
    <cellStyle name="Phần trăm" xfId="1" builtinId="5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575475-168C-49EB-92F4-8315E13DCA7B}" name="Table1" displayName="Table1" ref="A1:I5" totalsRowShown="0" headerRowDxfId="0" dataDxfId="1">
  <autoFilter ref="A1:I5" xr:uid="{2A575475-168C-49EB-92F4-8315E13DCA7B}"/>
  <tableColumns count="9">
    <tableColumn id="1" xr3:uid="{61D191B0-1014-4529-B1C9-C895B2C9740B}" name="Mã BĐS" dataDxfId="10"/>
    <tableColumn id="2" xr3:uid="{52CEC623-4431-4595-81A0-03B32AADCE22}" name="Loại BĐS" dataDxfId="9"/>
    <tableColumn id="3" xr3:uid="{99CF14AF-0FA2-4AF2-91B9-4D56AFFCADDD}" name="Giao dịch" dataDxfId="8"/>
    <tableColumn id="4" xr3:uid="{D2CC8AFA-6067-495A-B879-7EB0519AA4C6}" name="Giá niêm yết (VND)" dataDxfId="7"/>
    <tableColumn id="5" xr3:uid="{0F0BEC13-3390-4D21-8ED4-35FF220DD6EF}" name="CK (%)" dataDxfId="6"/>
    <tableColumn id="6" xr3:uid="{758A28FD-90AD-4AD5-A8F1-78FD0141107A}" name="Tiền CK (VND)" dataDxfId="5">
      <calculatedColumnFormula>D2*E2</calculatedColumnFormula>
    </tableColumn>
    <tableColumn id="7" xr3:uid="{01F95868-28BA-4967-8D22-19BE3CD211AE}" name="Giá sau CK (VND)" dataDxfId="4">
      <calculatedColumnFormula>D2-F2</calculatedColumnFormula>
    </tableColumn>
    <tableColumn id="8" xr3:uid="{861CDAA1-060B-4554-BB74-E21C718A5A78}" name="Tỷ lệ HH" dataDxfId="3" dataCellStyle="Phần trăm">
      <calculatedColumnFormula>IFERROR(VLOOKUP(C2,BangHoaHong!$A$2:$B$3,2,FALSE),0)</calculatedColumnFormula>
    </tableColumn>
    <tableColumn id="9" xr3:uid="{0A4B4AD1-391B-430A-ACAB-8CB98A53F126}" name="Hoa hồng (VND)" dataDxfId="2">
      <calculatedColumnFormula>IF(C2="Bán",G2*H2,D2*12*H2)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85FFF-4487-45F7-9AAC-0057B8E4294F}">
  <dimension ref="A1:I5"/>
  <sheetViews>
    <sheetView tabSelected="1" workbookViewId="0">
      <selection activeCell="H15" sqref="H15"/>
    </sheetView>
  </sheetViews>
  <sheetFormatPr defaultRowHeight="13.8" x14ac:dyDescent="0.25"/>
  <cols>
    <col min="1" max="1" width="9.3984375" customWidth="1"/>
    <col min="2" max="2" width="10.59765625" customWidth="1"/>
    <col min="3" max="3" width="10.796875" customWidth="1"/>
    <col min="4" max="4" width="19.19921875" customWidth="1"/>
    <col min="6" max="6" width="15.09765625" customWidth="1"/>
    <col min="7" max="7" width="17.796875" customWidth="1"/>
    <col min="8" max="8" width="13.3984375" customWidth="1"/>
    <col min="9" max="9" width="16.5" customWidth="1"/>
  </cols>
  <sheetData>
    <row r="1" spans="1:9" ht="27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10</v>
      </c>
      <c r="H1" s="1" t="s">
        <v>11</v>
      </c>
      <c r="I1" s="1" t="s">
        <v>12</v>
      </c>
    </row>
    <row r="2" spans="1:9" x14ac:dyDescent="0.25">
      <c r="A2" s="3" t="s">
        <v>5</v>
      </c>
      <c r="B2" s="3" t="s">
        <v>17</v>
      </c>
      <c r="C2" s="3" t="s">
        <v>15</v>
      </c>
      <c r="D2" s="3">
        <v>3000000000</v>
      </c>
      <c r="E2" s="4">
        <v>0.05</v>
      </c>
      <c r="F2" s="3">
        <f>D2*E2</f>
        <v>150000000</v>
      </c>
      <c r="G2" s="3">
        <f>D2-F2</f>
        <v>2850000000</v>
      </c>
      <c r="H2" s="5">
        <f>IFERROR(VLOOKUP(C2,BangHoaHong!$A$2:$B$3,2,FALSE),0)</f>
        <v>0.02</v>
      </c>
      <c r="I2" s="3">
        <f>IF(C2="Bán",G2*H2,D2*12*H2)</f>
        <v>57000000</v>
      </c>
    </row>
    <row r="3" spans="1:9" x14ac:dyDescent="0.25">
      <c r="A3" s="3" t="s">
        <v>6</v>
      </c>
      <c r="B3" s="3" t="s">
        <v>18</v>
      </c>
      <c r="C3" s="3" t="s">
        <v>15</v>
      </c>
      <c r="D3" s="3">
        <v>2500000000</v>
      </c>
      <c r="E3" s="4">
        <v>0.03</v>
      </c>
      <c r="F3" s="3">
        <f t="shared" ref="F3:F5" si="0">D3*E3</f>
        <v>75000000</v>
      </c>
      <c r="G3" s="3">
        <f t="shared" ref="G3:G5" si="1">D3-F3</f>
        <v>2425000000</v>
      </c>
      <c r="H3" s="5">
        <f>IFERROR(VLOOKUP(C3,BangHoaHong!$A$2:$B$3,2,FALSE),0)</f>
        <v>0.02</v>
      </c>
      <c r="I3" s="3">
        <f t="shared" ref="I3:I5" si="2">IF(C3="Bán",G3*H3,D3*12*H3)</f>
        <v>48500000</v>
      </c>
    </row>
    <row r="4" spans="1:9" x14ac:dyDescent="0.25">
      <c r="A4" s="3" t="s">
        <v>7</v>
      </c>
      <c r="B4" s="3" t="s">
        <v>18</v>
      </c>
      <c r="C4" s="3" t="s">
        <v>16</v>
      </c>
      <c r="D4" s="3">
        <v>12000000</v>
      </c>
      <c r="E4" s="4">
        <v>0</v>
      </c>
      <c r="F4" s="3">
        <f t="shared" si="0"/>
        <v>0</v>
      </c>
      <c r="G4" s="3">
        <f t="shared" si="1"/>
        <v>12000000</v>
      </c>
      <c r="H4" s="5">
        <f>IFERROR(VLOOKUP(C4,BangHoaHong!$A$2:$B$3,2,FALSE),0)</f>
        <v>0.05</v>
      </c>
      <c r="I4" s="3">
        <f t="shared" si="2"/>
        <v>7200000</v>
      </c>
    </row>
    <row r="5" spans="1:9" x14ac:dyDescent="0.25">
      <c r="A5" s="3" t="s">
        <v>8</v>
      </c>
      <c r="B5" s="3" t="s">
        <v>17</v>
      </c>
      <c r="C5" s="3" t="s">
        <v>15</v>
      </c>
      <c r="D5" s="3">
        <v>4200000000</v>
      </c>
      <c r="E5" s="4">
        <v>0.04</v>
      </c>
      <c r="F5" s="3">
        <f t="shared" si="0"/>
        <v>168000000</v>
      </c>
      <c r="G5" s="3">
        <f t="shared" si="1"/>
        <v>4032000000</v>
      </c>
      <c r="H5" s="5">
        <f>IFERROR(VLOOKUP(C5,BangHoaHong!$A$2:$B$3,2,FALSE),0)</f>
        <v>0.02</v>
      </c>
      <c r="I5" s="3">
        <f t="shared" si="2"/>
        <v>80640000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64636-40E7-4A73-B18A-10FDFD1084B1}">
  <dimension ref="A1:C3"/>
  <sheetViews>
    <sheetView workbookViewId="0">
      <selection sqref="A1:B3"/>
    </sheetView>
  </sheetViews>
  <sheetFormatPr defaultRowHeight="13.8" x14ac:dyDescent="0.25"/>
  <cols>
    <col min="1" max="1" width="15.09765625" customWidth="1"/>
    <col min="2" max="2" width="16.09765625" customWidth="1"/>
    <col min="3" max="3" width="8.796875" customWidth="1"/>
  </cols>
  <sheetData>
    <row r="1" spans="1:3" x14ac:dyDescent="0.25">
      <c r="A1" s="1" t="s">
        <v>13</v>
      </c>
      <c r="B1" s="1" t="s">
        <v>14</v>
      </c>
    </row>
    <row r="2" spans="1:3" x14ac:dyDescent="0.25">
      <c r="A2" s="3" t="s">
        <v>15</v>
      </c>
      <c r="B2" s="4">
        <v>0.02</v>
      </c>
      <c r="C2" s="2"/>
    </row>
    <row r="3" spans="1:3" x14ac:dyDescent="0.25">
      <c r="A3" s="3" t="s">
        <v>16</v>
      </c>
      <c r="B3" s="4">
        <v>0.05</v>
      </c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DanhSachNhaDat</vt:lpstr>
      <vt:lpstr>BangHoaHong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Huệ Hồng</dc:creator>
  <cp:lastModifiedBy>Huệ Hồng</cp:lastModifiedBy>
  <dcterms:created xsi:type="dcterms:W3CDTF">2026-10-26T16:53:20Z</dcterms:created>
  <dcterms:modified xsi:type="dcterms:W3CDTF">2026-10-26T17:24:57Z</dcterms:modified>
</cp:coreProperties>
</file>